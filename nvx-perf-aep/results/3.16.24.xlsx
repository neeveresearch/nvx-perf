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rish/Development/nvx/github/nvx-perf/nvx-perf-aep/results/"/>
    </mc:Choice>
  </mc:AlternateContent>
  <xr:revisionPtr revIDLastSave="0" documentId="13_ncr:1_{FB468DE5-96E4-4640-80BD-0EA7F1884B6D}" xr6:coauthVersionLast="47" xr6:coauthVersionMax="47" xr10:uidLastSave="{00000000-0000-0000-0000-000000000000}"/>
  <bookViews>
    <workbookView xWindow="380" yWindow="460" windowWidth="28040" windowHeight="17040" xr2:uid="{63B38CB0-0F73-D441-83BA-6468C87D2337}"/>
  </bookViews>
  <sheets>
    <sheet name="perf7.n5corp.com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4" i="1" l="1"/>
  <c r="R63" i="1"/>
  <c r="R59" i="1"/>
  <c r="R58" i="1"/>
  <c r="R51" i="1"/>
  <c r="R50" i="1"/>
  <c r="R46" i="1"/>
  <c r="R45" i="1"/>
  <c r="R28" i="1"/>
  <c r="R27" i="1"/>
  <c r="R33" i="1"/>
  <c r="R32" i="1"/>
  <c r="R20" i="1"/>
  <c r="R19" i="1"/>
  <c r="R15" i="1"/>
  <c r="R14" i="1"/>
  <c r="K33" i="1"/>
  <c r="J33" i="1"/>
  <c r="I33" i="1"/>
  <c r="K32" i="1"/>
  <c r="J32" i="1"/>
  <c r="I32" i="1"/>
  <c r="K28" i="1"/>
  <c r="J28" i="1"/>
  <c r="I28" i="1"/>
  <c r="K27" i="1"/>
  <c r="J27" i="1"/>
  <c r="I27" i="1"/>
  <c r="K20" i="1"/>
  <c r="J20" i="1"/>
  <c r="I20" i="1"/>
  <c r="K19" i="1"/>
  <c r="J19" i="1"/>
  <c r="I19" i="1"/>
  <c r="K15" i="1"/>
  <c r="K14" i="1"/>
  <c r="J15" i="1"/>
  <c r="I15" i="1"/>
  <c r="J14" i="1"/>
  <c r="I14" i="1"/>
</calcChain>
</file>

<file path=xl/sharedStrings.xml><?xml version="1.0" encoding="utf-8"?>
<sst xmlns="http://schemas.openxmlformats.org/spreadsheetml/2006/main" count="216" uniqueCount="29">
  <si>
    <t>Name</t>
  </si>
  <si>
    <t>JVM</t>
  </si>
  <si>
    <t>Oracle</t>
  </si>
  <si>
    <t>Zing</t>
  </si>
  <si>
    <t>Conserve Memory</t>
  </si>
  <si>
    <t>JDK</t>
  </si>
  <si>
    <t>Y</t>
  </si>
  <si>
    <t>N</t>
  </si>
  <si>
    <t>99th</t>
  </si>
  <si>
    <t>Mean</t>
  </si>
  <si>
    <t>50th</t>
  </si>
  <si>
    <t>Persistence=Off, Clustering=Off, Serialization=Direct</t>
  </si>
  <si>
    <t>Persistence=Off, Clustering=Off, Serialization=Intermediate</t>
  </si>
  <si>
    <t>Conserve CPU</t>
  </si>
  <si>
    <t>Conserve Memory Impact</t>
  </si>
  <si>
    <t>Conserve CPU Impact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</si>
  <si>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--injectorCPUAffinityMask [2] --muxCPUAffinityMask [3]  --busDetachedSendCPUAffinityMask [4] --encoding &lt;xbuf2.serial | xbuf2.random&gt;</t>
  </si>
  <si>
    <t>Optimization = LATENCY</t>
  </si>
  <si>
    <t>Optimization = THROUGHPUT</t>
  </si>
  <si>
    <t>Affinitize CPU</t>
  </si>
  <si>
    <t>Throughput 
(Max Configured)</t>
  </si>
  <si>
    <t>Throughput 
(Max Achieved)</t>
  </si>
  <si>
    <t>N/A</t>
  </si>
  <si>
    <t>rumi-reporter.sh -w 500000 -f latencies.w2w.bin</t>
  </si>
  <si>
    <t>Latency (us)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</si>
  <si>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--enablePersistence --persisterLogLocation `pwd` --persisterInitialLogLength 10g --persisterZeroOutInitial --persisterFlushUsingMappedMemory --persisterFlushOnCommit --injectorCPUAffinityMask [2] --muxCPUAffinityMask [3] --busDetachedSendCPUAffinityMask [4] --persisterWriterCPUAffinityMask [5] --encoding &lt;xbuf2.serial | xbuf2.random&gt;</t>
  </si>
  <si>
    <t>Persistence=On, Clustering=Off, Serialization=Direct</t>
  </si>
  <si>
    <t>Persistence=On, Clustering=Off, Serialization=Intermediate</t>
  </si>
  <si>
    <t>Zing Params =  -XX:+UseSTW -XX:+GPGCDoFixupPasses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</si>
</sst>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7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2" fontId="0" fillId="0" borderId="2" xfId="0" applyNumberFormat="1" applyBorder="1"/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5" fontId="0" fillId="0" borderId="0" xfId="2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right"/>
    </xf>
    <xf numFmtId="164" fontId="0" fillId="0" borderId="4" xfId="1" applyNumberFormat="1" applyFont="1" applyBorder="1" applyAlignment="1">
      <alignment horizontal="right"/>
    </xf>
    <xf numFmtId="164" fontId="6" fillId="0" borderId="0" xfId="1" applyNumberFormat="1" applyFont="1" applyBorder="1"/>
    <xf numFmtId="164" fontId="6" fillId="0" borderId="2" xfId="1" applyNumberFormat="1" applyFont="1" applyBorder="1"/>
    <xf numFmtId="164" fontId="6" fillId="0" borderId="4" xfId="1" applyNumberFormat="1" applyFont="1" applyBorder="1"/>
    <xf numFmtId="164" fontId="6" fillId="0" borderId="5" xfId="1" applyNumberFormat="1" applyFont="1" applyBorder="1"/>
    <xf numFmtId="43" fontId="0" fillId="0" borderId="0" xfId="2" applyFont="1" applyBorder="1"/>
    <xf numFmtId="165" fontId="0" fillId="0" borderId="2" xfId="2" applyNumberFormat="1" applyFont="1" applyBorder="1"/>
    <xf numFmtId="164" fontId="6" fillId="0" borderId="19" xfId="1" applyNumberFormat="1" applyFont="1" applyBorder="1"/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984-E324-944D-8CEA-260EE3475672}">
  <dimension ref="C3:S64"/>
  <sheetViews>
    <sheetView tabSelected="1" topLeftCell="A27" zoomScale="85" zoomScaleNormal="85" workbookViewId="0">
      <selection activeCell="R47" sqref="R47"/>
    </sheetView>
  </sheetViews>
  <sheetFormatPr baseColWidth="10" defaultRowHeight="16" x14ac:dyDescent="0.2"/>
  <cols>
    <col min="5" max="5" width="15.83203125" style="1" bestFit="1" customWidth="1"/>
    <col min="6" max="8" width="15.83203125" style="1" customWidth="1"/>
    <col min="13" max="13" width="12.83203125" customWidth="1"/>
    <col min="14" max="14" width="13.1640625" customWidth="1"/>
    <col min="15" max="15" width="16.33203125" bestFit="1" customWidth="1"/>
    <col min="16" max="16" width="15" bestFit="1" customWidth="1"/>
    <col min="17" max="17" width="15" customWidth="1"/>
    <col min="18" max="18" width="14.6640625" bestFit="1" customWidth="1"/>
  </cols>
  <sheetData>
    <row r="3" spans="3:18" x14ac:dyDescent="0.2">
      <c r="C3" t="s">
        <v>16</v>
      </c>
    </row>
    <row r="4" spans="3:18" x14ac:dyDescent="0.2">
      <c r="C4" t="s">
        <v>23</v>
      </c>
    </row>
    <row r="5" spans="3:18" x14ac:dyDescent="0.2">
      <c r="C5" t="s">
        <v>28</v>
      </c>
    </row>
    <row r="7" spans="3:18" ht="22" thickBot="1" x14ac:dyDescent="0.3">
      <c r="C7" s="51" t="s">
        <v>17</v>
      </c>
      <c r="D7" s="51"/>
      <c r="E7" s="51"/>
      <c r="F7" s="51"/>
      <c r="G7" s="51"/>
      <c r="H7" s="51"/>
      <c r="I7" s="51"/>
      <c r="J7" s="51"/>
      <c r="K7" s="51"/>
      <c r="M7" s="52" t="s">
        <v>18</v>
      </c>
      <c r="N7" s="52"/>
      <c r="O7" s="52"/>
      <c r="P7" s="52"/>
      <c r="Q7" s="52"/>
      <c r="R7" s="52"/>
    </row>
    <row r="8" spans="3:18" ht="19" x14ac:dyDescent="0.25">
      <c r="C8" s="26" t="s">
        <v>11</v>
      </c>
      <c r="D8" s="27"/>
      <c r="E8" s="27"/>
      <c r="F8" s="27"/>
      <c r="G8" s="27"/>
      <c r="H8" s="27"/>
      <c r="I8" s="28"/>
      <c r="J8" s="28"/>
      <c r="K8" s="29"/>
      <c r="M8" s="26" t="s">
        <v>11</v>
      </c>
      <c r="N8" s="27"/>
      <c r="O8" s="27"/>
      <c r="P8" s="27"/>
      <c r="Q8" s="27"/>
      <c r="R8" s="29"/>
    </row>
    <row r="9" spans="3:18" ht="16" customHeight="1" x14ac:dyDescent="0.2">
      <c r="C9" s="31" t="s">
        <v>1</v>
      </c>
      <c r="D9" s="32"/>
      <c r="E9" s="23" t="s">
        <v>4</v>
      </c>
      <c r="F9" s="23" t="s">
        <v>13</v>
      </c>
      <c r="G9" s="22" t="s">
        <v>19</v>
      </c>
      <c r="H9" s="24" t="s">
        <v>20</v>
      </c>
      <c r="I9" s="46" t="s">
        <v>24</v>
      </c>
      <c r="J9" s="46"/>
      <c r="K9" s="47"/>
      <c r="M9" s="31" t="s">
        <v>1</v>
      </c>
      <c r="N9" s="32"/>
      <c r="O9" s="23" t="s">
        <v>4</v>
      </c>
      <c r="P9" s="23" t="s">
        <v>13</v>
      </c>
      <c r="Q9" s="23" t="s">
        <v>19</v>
      </c>
      <c r="R9" s="35" t="s">
        <v>21</v>
      </c>
    </row>
    <row r="10" spans="3:18" x14ac:dyDescent="0.2">
      <c r="C10" s="2" t="s">
        <v>0</v>
      </c>
      <c r="D10" s="10" t="s">
        <v>5</v>
      </c>
      <c r="E10" s="23"/>
      <c r="F10" s="23"/>
      <c r="G10" s="23"/>
      <c r="H10" s="25"/>
      <c r="I10" s="8" t="s">
        <v>9</v>
      </c>
      <c r="J10" s="8" t="s">
        <v>10</v>
      </c>
      <c r="K10" s="7" t="s">
        <v>8</v>
      </c>
      <c r="M10" s="2" t="s">
        <v>0</v>
      </c>
      <c r="N10" s="10" t="s">
        <v>5</v>
      </c>
      <c r="O10" s="23"/>
      <c r="P10" s="23"/>
      <c r="Q10" s="23"/>
      <c r="R10" s="36"/>
    </row>
    <row r="11" spans="3:18" ht="16" customHeight="1" x14ac:dyDescent="0.2">
      <c r="C11" s="30" t="s">
        <v>2</v>
      </c>
      <c r="D11" s="33">
        <v>8</v>
      </c>
      <c r="E11" s="1" t="s">
        <v>7</v>
      </c>
      <c r="F11" s="1" t="s">
        <v>7</v>
      </c>
      <c r="G11" s="1" t="s">
        <v>6</v>
      </c>
      <c r="H11" s="12">
        <v>50000</v>
      </c>
      <c r="I11" s="9">
        <v>4.62</v>
      </c>
      <c r="J11" s="9">
        <v>3.47</v>
      </c>
      <c r="K11" s="5">
        <v>3.73</v>
      </c>
      <c r="M11" s="30" t="s">
        <v>2</v>
      </c>
      <c r="N11" s="33">
        <v>8</v>
      </c>
      <c r="O11" s="1" t="s">
        <v>7</v>
      </c>
      <c r="P11" s="1" t="s">
        <v>7</v>
      </c>
      <c r="Q11" s="1" t="s">
        <v>6</v>
      </c>
      <c r="R11" s="20">
        <v>504872</v>
      </c>
    </row>
    <row r="12" spans="3:18" x14ac:dyDescent="0.2">
      <c r="C12" s="30"/>
      <c r="D12" s="33"/>
      <c r="E12" s="1" t="s">
        <v>6</v>
      </c>
      <c r="F12" s="1" t="s">
        <v>7</v>
      </c>
      <c r="G12" s="1" t="s">
        <v>6</v>
      </c>
      <c r="H12" s="12">
        <v>50000</v>
      </c>
      <c r="I12" s="9">
        <v>5.03</v>
      </c>
      <c r="J12" s="9">
        <v>3.89</v>
      </c>
      <c r="K12" s="5">
        <v>4.1500000000000004</v>
      </c>
      <c r="M12" s="30"/>
      <c r="N12" s="33"/>
      <c r="O12" s="1" t="s">
        <v>6</v>
      </c>
      <c r="P12" s="1" t="s">
        <v>7</v>
      </c>
      <c r="Q12" s="1" t="s">
        <v>6</v>
      </c>
      <c r="R12" s="20">
        <v>402820</v>
      </c>
    </row>
    <row r="13" spans="3:18" x14ac:dyDescent="0.2">
      <c r="C13" s="30"/>
      <c r="D13" s="33"/>
      <c r="E13" s="1" t="s">
        <v>7</v>
      </c>
      <c r="F13" s="1" t="s">
        <v>6</v>
      </c>
      <c r="G13" s="1" t="s">
        <v>6</v>
      </c>
      <c r="H13" s="12">
        <v>50000</v>
      </c>
      <c r="I13" s="9">
        <v>11.64</v>
      </c>
      <c r="J13" s="9">
        <v>10.42</v>
      </c>
      <c r="K13" s="5">
        <v>10.71</v>
      </c>
      <c r="M13" s="30"/>
      <c r="N13" s="33"/>
      <c r="O13" s="1" t="s">
        <v>7</v>
      </c>
      <c r="P13" s="1" t="s">
        <v>6</v>
      </c>
      <c r="Q13" s="1" t="s">
        <v>6</v>
      </c>
      <c r="R13" s="20">
        <v>494305</v>
      </c>
    </row>
    <row r="14" spans="3:18" x14ac:dyDescent="0.2">
      <c r="C14" s="30"/>
      <c r="D14" s="33"/>
      <c r="E14" s="34" t="s">
        <v>14</v>
      </c>
      <c r="F14" s="34"/>
      <c r="G14" s="11"/>
      <c r="H14" s="13" t="s">
        <v>22</v>
      </c>
      <c r="I14" s="15">
        <f>(I12-I11)/I11</f>
        <v>8.8744588744588779E-2</v>
      </c>
      <c r="J14" s="15">
        <f>(J12-J11)/J11</f>
        <v>0.12103746397694522</v>
      </c>
      <c r="K14" s="16">
        <f>(K12-K11)/K11</f>
        <v>0.11260053619302959</v>
      </c>
      <c r="M14" s="30"/>
      <c r="N14" s="33"/>
      <c r="O14" s="34" t="s">
        <v>14</v>
      </c>
      <c r="P14" s="34"/>
      <c r="Q14" s="11"/>
      <c r="R14" s="16">
        <f>(R12-R11)/R11</f>
        <v>-0.20213440238317831</v>
      </c>
    </row>
    <row r="15" spans="3:18" x14ac:dyDescent="0.2">
      <c r="C15" s="30"/>
      <c r="D15" s="33"/>
      <c r="E15" s="34" t="s">
        <v>15</v>
      </c>
      <c r="F15" s="34"/>
      <c r="G15" s="11"/>
      <c r="H15" s="13" t="s">
        <v>22</v>
      </c>
      <c r="I15" s="15">
        <f>(I13-I11)/I11</f>
        <v>1.5194805194805197</v>
      </c>
      <c r="J15" s="15">
        <f>(J13-J11)/J11</f>
        <v>2.0028818443804033</v>
      </c>
      <c r="K15" s="16">
        <f>(K13-K11)/K11</f>
        <v>1.8713136729222521</v>
      </c>
      <c r="M15" s="30"/>
      <c r="N15" s="33"/>
      <c r="O15" s="34" t="s">
        <v>15</v>
      </c>
      <c r="P15" s="34"/>
      <c r="Q15" s="11"/>
      <c r="R15" s="16">
        <f>(R13-R11)/R11</f>
        <v>-2.0930057519529702E-2</v>
      </c>
    </row>
    <row r="16" spans="3:18" x14ac:dyDescent="0.2">
      <c r="C16" s="37" t="s">
        <v>3</v>
      </c>
      <c r="D16" s="33">
        <v>8</v>
      </c>
      <c r="E16" s="1" t="s">
        <v>7</v>
      </c>
      <c r="F16" s="1" t="s">
        <v>7</v>
      </c>
      <c r="G16" s="1" t="s">
        <v>6</v>
      </c>
      <c r="H16" s="12">
        <v>50000</v>
      </c>
      <c r="I16" s="9">
        <v>4.54</v>
      </c>
      <c r="J16" s="9">
        <v>3.18</v>
      </c>
      <c r="K16" s="5">
        <v>3.35</v>
      </c>
      <c r="M16" s="37" t="s">
        <v>3</v>
      </c>
      <c r="N16" s="33">
        <v>8</v>
      </c>
      <c r="O16" s="1" t="s">
        <v>7</v>
      </c>
      <c r="P16" s="1" t="s">
        <v>7</v>
      </c>
      <c r="Q16" s="1" t="s">
        <v>6</v>
      </c>
      <c r="R16" s="20">
        <v>530287</v>
      </c>
    </row>
    <row r="17" spans="3:19" x14ac:dyDescent="0.2">
      <c r="C17" s="37"/>
      <c r="D17" s="33"/>
      <c r="E17" s="1" t="s">
        <v>6</v>
      </c>
      <c r="F17" s="1" t="s">
        <v>7</v>
      </c>
      <c r="G17" s="1" t="s">
        <v>6</v>
      </c>
      <c r="H17" s="12">
        <v>50000</v>
      </c>
      <c r="I17" s="9">
        <v>4.76</v>
      </c>
      <c r="J17" s="9">
        <v>3.44</v>
      </c>
      <c r="K17" s="5">
        <v>3.64</v>
      </c>
      <c r="M17" s="37"/>
      <c r="N17" s="33"/>
      <c r="O17" s="1" t="s">
        <v>6</v>
      </c>
      <c r="P17" s="1" t="s">
        <v>7</v>
      </c>
      <c r="Q17" s="1" t="s">
        <v>6</v>
      </c>
      <c r="R17" s="20">
        <v>489453</v>
      </c>
    </row>
    <row r="18" spans="3:19" x14ac:dyDescent="0.2">
      <c r="C18" s="37"/>
      <c r="D18" s="33"/>
      <c r="E18" s="1" t="s">
        <v>7</v>
      </c>
      <c r="F18" s="1" t="s">
        <v>6</v>
      </c>
      <c r="G18" s="1" t="s">
        <v>6</v>
      </c>
      <c r="H18" s="12">
        <v>50000</v>
      </c>
      <c r="I18" s="9">
        <v>11.57</v>
      </c>
      <c r="J18" s="9">
        <v>10.18</v>
      </c>
      <c r="K18" s="5">
        <v>10.38</v>
      </c>
      <c r="M18" s="37"/>
      <c r="N18" s="33"/>
      <c r="O18" s="1" t="s">
        <v>7</v>
      </c>
      <c r="P18" s="1" t="s">
        <v>6</v>
      </c>
      <c r="Q18" s="1" t="s">
        <v>6</v>
      </c>
      <c r="R18" s="20">
        <v>506074</v>
      </c>
    </row>
    <row r="19" spans="3:19" x14ac:dyDescent="0.2">
      <c r="C19" s="37"/>
      <c r="D19" s="33"/>
      <c r="E19" s="34" t="s">
        <v>14</v>
      </c>
      <c r="F19" s="34"/>
      <c r="G19" s="11"/>
      <c r="H19" s="13" t="s">
        <v>22</v>
      </c>
      <c r="I19" s="15">
        <f>(I17-I16)/I16</f>
        <v>4.8458149779735629E-2</v>
      </c>
      <c r="J19" s="15">
        <f>(J17-J16)/J16</f>
        <v>8.1761006289308102E-2</v>
      </c>
      <c r="K19" s="16">
        <f>(K17-K16)/K16</f>
        <v>8.6567164179104483E-2</v>
      </c>
      <c r="M19" s="37"/>
      <c r="N19" s="33"/>
      <c r="O19" s="34" t="s">
        <v>14</v>
      </c>
      <c r="P19" s="34"/>
      <c r="Q19" s="11"/>
      <c r="R19" s="16">
        <f>(R17-R16)/R16</f>
        <v>-7.7003584851222079E-2</v>
      </c>
    </row>
    <row r="20" spans="3:19" x14ac:dyDescent="0.2">
      <c r="C20" s="41"/>
      <c r="D20" s="42"/>
      <c r="E20" s="34" t="s">
        <v>15</v>
      </c>
      <c r="F20" s="34"/>
      <c r="G20" s="11"/>
      <c r="H20" s="13" t="s">
        <v>22</v>
      </c>
      <c r="I20" s="15">
        <f>(I18-I16)/I16</f>
        <v>1.5484581497797356</v>
      </c>
      <c r="J20" s="15">
        <f>(J18-J16)/J16</f>
        <v>2.2012578616352201</v>
      </c>
      <c r="K20" s="16">
        <f>(K18-K16)/K16</f>
        <v>2.0985074626865674</v>
      </c>
      <c r="M20" s="37"/>
      <c r="N20" s="33"/>
      <c r="O20" s="34" t="s">
        <v>15</v>
      </c>
      <c r="P20" s="34"/>
      <c r="Q20" s="11"/>
      <c r="R20" s="21">
        <f>(R18-R16)/R16</f>
        <v>-4.5660180242019885E-2</v>
      </c>
    </row>
    <row r="21" spans="3:19" ht="19" x14ac:dyDescent="0.25">
      <c r="C21" s="43" t="s">
        <v>12</v>
      </c>
      <c r="D21" s="44"/>
      <c r="E21" s="44"/>
      <c r="F21" s="44"/>
      <c r="G21" s="44"/>
      <c r="H21" s="44"/>
      <c r="I21" s="44"/>
      <c r="J21" s="44"/>
      <c r="K21" s="45"/>
      <c r="M21" s="48" t="s">
        <v>12</v>
      </c>
      <c r="N21" s="49"/>
      <c r="O21" s="49"/>
      <c r="P21" s="49"/>
      <c r="Q21" s="49"/>
      <c r="R21" s="50"/>
    </row>
    <row r="22" spans="3:19" x14ac:dyDescent="0.2">
      <c r="C22" s="31" t="s">
        <v>1</v>
      </c>
      <c r="D22" s="32"/>
      <c r="E22" s="23" t="s">
        <v>4</v>
      </c>
      <c r="F22" s="23" t="s">
        <v>13</v>
      </c>
      <c r="G22" s="22" t="s">
        <v>19</v>
      </c>
      <c r="H22" s="24" t="s">
        <v>20</v>
      </c>
      <c r="I22" s="46" t="s">
        <v>24</v>
      </c>
      <c r="J22" s="46"/>
      <c r="K22" s="47"/>
      <c r="M22" s="31" t="s">
        <v>1</v>
      </c>
      <c r="N22" s="32"/>
      <c r="O22" s="23" t="s">
        <v>4</v>
      </c>
      <c r="P22" s="23" t="s">
        <v>13</v>
      </c>
      <c r="Q22" s="23" t="s">
        <v>19</v>
      </c>
      <c r="R22" s="35" t="s">
        <v>21</v>
      </c>
    </row>
    <row r="23" spans="3:19" x14ac:dyDescent="0.2">
      <c r="C23" s="2" t="s">
        <v>0</v>
      </c>
      <c r="D23" s="10" t="s">
        <v>5</v>
      </c>
      <c r="E23" s="23"/>
      <c r="F23" s="23"/>
      <c r="G23" s="23"/>
      <c r="H23" s="25"/>
      <c r="I23" s="8" t="s">
        <v>9</v>
      </c>
      <c r="J23" s="8" t="s">
        <v>10</v>
      </c>
      <c r="K23" s="7" t="s">
        <v>8</v>
      </c>
      <c r="M23" s="2" t="s">
        <v>0</v>
      </c>
      <c r="N23" s="10" t="s">
        <v>5</v>
      </c>
      <c r="O23" s="23"/>
      <c r="P23" s="23"/>
      <c r="Q23" s="23"/>
      <c r="R23" s="36"/>
    </row>
    <row r="24" spans="3:19" x14ac:dyDescent="0.2">
      <c r="C24" s="37" t="s">
        <v>2</v>
      </c>
      <c r="D24" s="33">
        <v>8</v>
      </c>
      <c r="E24" s="1" t="s">
        <v>7</v>
      </c>
      <c r="F24" s="1" t="s">
        <v>7</v>
      </c>
      <c r="G24" s="1" t="s">
        <v>6</v>
      </c>
      <c r="H24" s="12">
        <v>50000</v>
      </c>
      <c r="I24" s="9">
        <v>8.35</v>
      </c>
      <c r="J24" s="9">
        <v>7.04</v>
      </c>
      <c r="K24" s="5">
        <v>8.5299999999999994</v>
      </c>
      <c r="M24" s="37" t="s">
        <v>2</v>
      </c>
      <c r="N24" s="33">
        <v>8</v>
      </c>
      <c r="O24" s="1" t="s">
        <v>7</v>
      </c>
      <c r="P24" s="1" t="s">
        <v>7</v>
      </c>
      <c r="Q24" s="1" t="s">
        <v>6</v>
      </c>
      <c r="R24" s="20">
        <v>130373</v>
      </c>
    </row>
    <row r="25" spans="3:19" x14ac:dyDescent="0.2">
      <c r="C25" s="37"/>
      <c r="D25" s="33"/>
      <c r="E25" s="1" t="s">
        <v>6</v>
      </c>
      <c r="F25" s="1" t="s">
        <v>7</v>
      </c>
      <c r="G25" s="1" t="s">
        <v>6</v>
      </c>
      <c r="H25" s="12">
        <v>50000</v>
      </c>
      <c r="I25" s="9">
        <v>13.46</v>
      </c>
      <c r="J25" s="9">
        <v>12.27</v>
      </c>
      <c r="K25" s="5">
        <v>13.66</v>
      </c>
      <c r="M25" s="37"/>
      <c r="N25" s="33"/>
      <c r="O25" s="1" t="s">
        <v>6</v>
      </c>
      <c r="P25" s="1" t="s">
        <v>7</v>
      </c>
      <c r="Q25" s="1" t="s">
        <v>6</v>
      </c>
      <c r="R25" s="20">
        <v>85136</v>
      </c>
      <c r="S25" s="19"/>
    </row>
    <row r="26" spans="3:19" x14ac:dyDescent="0.2">
      <c r="C26" s="37"/>
      <c r="D26" s="33"/>
      <c r="E26" s="1" t="s">
        <v>7</v>
      </c>
      <c r="F26" s="1" t="s">
        <v>6</v>
      </c>
      <c r="G26" s="1" t="s">
        <v>6</v>
      </c>
      <c r="H26" s="12">
        <v>50000</v>
      </c>
      <c r="I26">
        <v>14.25</v>
      </c>
      <c r="J26" s="9">
        <v>12.6</v>
      </c>
      <c r="K26" s="5">
        <v>15.4</v>
      </c>
      <c r="M26" s="37"/>
      <c r="N26" s="33"/>
      <c r="O26" s="1" t="s">
        <v>7</v>
      </c>
      <c r="P26" s="1" t="s">
        <v>6</v>
      </c>
      <c r="Q26" s="1" t="s">
        <v>6</v>
      </c>
      <c r="R26" s="20">
        <v>114629</v>
      </c>
      <c r="S26" s="19"/>
    </row>
    <row r="27" spans="3:19" x14ac:dyDescent="0.2">
      <c r="C27" s="37"/>
      <c r="D27" s="33"/>
      <c r="E27" s="34" t="s">
        <v>14</v>
      </c>
      <c r="F27" s="34"/>
      <c r="G27" s="11"/>
      <c r="H27" s="13" t="s">
        <v>22</v>
      </c>
      <c r="I27" s="15">
        <f>(I25-I24)/I24</f>
        <v>0.6119760479041918</v>
      </c>
      <c r="J27" s="15">
        <f>(J25-J24)/J24</f>
        <v>0.74289772727272718</v>
      </c>
      <c r="K27" s="16">
        <f>(K25-K24)/K24</f>
        <v>0.6014067995310669</v>
      </c>
      <c r="M27" s="37"/>
      <c r="N27" s="33"/>
      <c r="O27" s="34" t="s">
        <v>14</v>
      </c>
      <c r="P27" s="34"/>
      <c r="Q27" s="11"/>
      <c r="R27" s="16">
        <f>(R25-R24)/R24</f>
        <v>-0.34698135350110837</v>
      </c>
    </row>
    <row r="28" spans="3:19" x14ac:dyDescent="0.2">
      <c r="C28" s="37"/>
      <c r="D28" s="33"/>
      <c r="E28" s="34" t="s">
        <v>15</v>
      </c>
      <c r="F28" s="34"/>
      <c r="G28" s="11"/>
      <c r="H28" s="13" t="s">
        <v>22</v>
      </c>
      <c r="I28" s="15">
        <f>(I26-I24)/I24</f>
        <v>0.70658682634730541</v>
      </c>
      <c r="J28" s="15">
        <f>(J26-J24)/J24</f>
        <v>0.78977272727272718</v>
      </c>
      <c r="K28" s="16">
        <f>(K26-K24)/K24</f>
        <v>0.8053927315357563</v>
      </c>
      <c r="M28" s="37"/>
      <c r="N28" s="33"/>
      <c r="O28" s="34" t="s">
        <v>15</v>
      </c>
      <c r="P28" s="34"/>
      <c r="Q28" s="11"/>
      <c r="R28" s="16">
        <f>(R26-R24)/R24</f>
        <v>-0.12076120055532971</v>
      </c>
    </row>
    <row r="29" spans="3:19" x14ac:dyDescent="0.2">
      <c r="C29" s="37" t="s">
        <v>3</v>
      </c>
      <c r="D29" s="33">
        <v>8</v>
      </c>
      <c r="E29" s="1" t="s">
        <v>7</v>
      </c>
      <c r="F29" s="1" t="s">
        <v>7</v>
      </c>
      <c r="G29" s="1" t="s">
        <v>6</v>
      </c>
      <c r="H29" s="12">
        <v>50000</v>
      </c>
      <c r="I29" s="9">
        <v>7.31</v>
      </c>
      <c r="J29" s="9">
        <v>5.8</v>
      </c>
      <c r="K29" s="5">
        <v>6.21</v>
      </c>
      <c r="M29" s="37" t="s">
        <v>3</v>
      </c>
      <c r="N29" s="33">
        <v>8</v>
      </c>
      <c r="O29" s="1" t="s">
        <v>7</v>
      </c>
      <c r="P29" s="1" t="s">
        <v>7</v>
      </c>
      <c r="Q29" s="1" t="s">
        <v>6</v>
      </c>
      <c r="R29" s="20">
        <v>124810</v>
      </c>
    </row>
    <row r="30" spans="3:19" x14ac:dyDescent="0.2">
      <c r="C30" s="37"/>
      <c r="D30" s="33"/>
      <c r="E30" s="1" t="s">
        <v>6</v>
      </c>
      <c r="F30" s="1" t="s">
        <v>7</v>
      </c>
      <c r="G30" s="1" t="s">
        <v>6</v>
      </c>
      <c r="H30" s="12">
        <v>50000</v>
      </c>
      <c r="I30" s="9">
        <v>11.82</v>
      </c>
      <c r="J30" s="9">
        <v>10.49</v>
      </c>
      <c r="K30" s="5">
        <v>10.77</v>
      </c>
      <c r="M30" s="37"/>
      <c r="N30" s="33"/>
      <c r="O30" s="1" t="s">
        <v>6</v>
      </c>
      <c r="P30" s="1" t="s">
        <v>7</v>
      </c>
      <c r="Q30" s="1" t="s">
        <v>6</v>
      </c>
      <c r="R30" s="20">
        <v>111400</v>
      </c>
    </row>
    <row r="31" spans="3:19" x14ac:dyDescent="0.2">
      <c r="C31" s="37"/>
      <c r="D31" s="33"/>
      <c r="E31" s="1" t="s">
        <v>7</v>
      </c>
      <c r="F31" s="1" t="s">
        <v>6</v>
      </c>
      <c r="G31" s="1" t="s">
        <v>6</v>
      </c>
      <c r="H31" s="12">
        <v>50000</v>
      </c>
      <c r="I31">
        <v>13.61</v>
      </c>
      <c r="J31">
        <v>12.96</v>
      </c>
      <c r="K31" s="4">
        <v>14.78</v>
      </c>
      <c r="M31" s="37"/>
      <c r="N31" s="33"/>
      <c r="O31" s="1" t="s">
        <v>7</v>
      </c>
      <c r="P31" s="1" t="s">
        <v>6</v>
      </c>
      <c r="Q31" s="1" t="s">
        <v>6</v>
      </c>
      <c r="R31" s="20">
        <v>116558</v>
      </c>
    </row>
    <row r="32" spans="3:19" x14ac:dyDescent="0.2">
      <c r="C32" s="37"/>
      <c r="D32" s="33"/>
      <c r="E32" s="34" t="s">
        <v>14</v>
      </c>
      <c r="F32" s="34"/>
      <c r="G32" s="11"/>
      <c r="H32" s="13" t="s">
        <v>22</v>
      </c>
      <c r="I32" s="15">
        <f>(I30-I29)/I29</f>
        <v>0.61696306429548575</v>
      </c>
      <c r="J32" s="15">
        <f>(J30-J29)/J29</f>
        <v>0.80862068965517253</v>
      </c>
      <c r="K32" s="16">
        <f>(K30-K29)/K29</f>
        <v>0.73429951690821249</v>
      </c>
      <c r="M32" s="37"/>
      <c r="N32" s="33"/>
      <c r="O32" s="34" t="s">
        <v>14</v>
      </c>
      <c r="P32" s="34"/>
      <c r="Q32" s="11"/>
      <c r="R32" s="16">
        <f>(R30-R29)/R29</f>
        <v>-0.10744331383703229</v>
      </c>
    </row>
    <row r="33" spans="3:18" ht="17" thickBot="1" x14ac:dyDescent="0.25">
      <c r="C33" s="38"/>
      <c r="D33" s="39"/>
      <c r="E33" s="40" t="s">
        <v>15</v>
      </c>
      <c r="F33" s="40"/>
      <c r="G33" s="6"/>
      <c r="H33" s="14" t="s">
        <v>22</v>
      </c>
      <c r="I33" s="17">
        <f>(I31-I29)/I29</f>
        <v>0.86183310533515733</v>
      </c>
      <c r="J33" s="17">
        <f>(J31-J29)/J29</f>
        <v>1.2344827586206899</v>
      </c>
      <c r="K33" s="18">
        <f>(K31-K29)/K29</f>
        <v>1.3800322061191628</v>
      </c>
      <c r="M33" s="38"/>
      <c r="N33" s="39"/>
      <c r="O33" s="40" t="s">
        <v>15</v>
      </c>
      <c r="P33" s="40"/>
      <c r="Q33" s="6"/>
      <c r="R33" s="18">
        <f>(R31-R29)/R29</f>
        <v>-6.6116497075554836E-2</v>
      </c>
    </row>
    <row r="34" spans="3:18" x14ac:dyDescent="0.2">
      <c r="C34" s="3"/>
      <c r="D34" s="3"/>
    </row>
    <row r="35" spans="3:18" x14ac:dyDescent="0.2">
      <c r="C35" s="3"/>
      <c r="D35" s="3"/>
    </row>
    <row r="36" spans="3:18" x14ac:dyDescent="0.2">
      <c r="C36" s="53" t="s">
        <v>25</v>
      </c>
    </row>
    <row r="37" spans="3:18" x14ac:dyDescent="0.2">
      <c r="C37" t="s">
        <v>28</v>
      </c>
    </row>
    <row r="38" spans="3:18" ht="20" thickBot="1" x14ac:dyDescent="0.3">
      <c r="M38" s="52" t="s">
        <v>18</v>
      </c>
      <c r="N38" s="52"/>
      <c r="O38" s="52"/>
      <c r="P38" s="52"/>
      <c r="Q38" s="52"/>
      <c r="R38" s="52"/>
    </row>
    <row r="39" spans="3:18" ht="19" x14ac:dyDescent="0.25">
      <c r="M39" s="26" t="s">
        <v>26</v>
      </c>
      <c r="N39" s="27"/>
      <c r="O39" s="27"/>
      <c r="P39" s="27"/>
      <c r="Q39" s="27"/>
      <c r="R39" s="29"/>
    </row>
    <row r="40" spans="3:18" x14ac:dyDescent="0.2">
      <c r="M40" s="31" t="s">
        <v>1</v>
      </c>
      <c r="N40" s="32"/>
      <c r="O40" s="23" t="s">
        <v>4</v>
      </c>
      <c r="P40" s="23" t="s">
        <v>13</v>
      </c>
      <c r="Q40" s="23" t="s">
        <v>19</v>
      </c>
      <c r="R40" s="35" t="s">
        <v>21</v>
      </c>
    </row>
    <row r="41" spans="3:18" x14ac:dyDescent="0.2">
      <c r="M41" s="2" t="s">
        <v>0</v>
      </c>
      <c r="N41" s="10" t="s">
        <v>5</v>
      </c>
      <c r="O41" s="23"/>
      <c r="P41" s="23"/>
      <c r="Q41" s="23"/>
      <c r="R41" s="36"/>
    </row>
    <row r="42" spans="3:18" x14ac:dyDescent="0.2">
      <c r="M42" s="30" t="s">
        <v>2</v>
      </c>
      <c r="N42" s="33">
        <v>8</v>
      </c>
      <c r="O42" s="1" t="s">
        <v>7</v>
      </c>
      <c r="P42" s="1" t="s">
        <v>7</v>
      </c>
      <c r="Q42" s="1" t="s">
        <v>6</v>
      </c>
      <c r="R42" s="20">
        <v>318531</v>
      </c>
    </row>
    <row r="43" spans="3:18" x14ac:dyDescent="0.2">
      <c r="M43" s="30"/>
      <c r="N43" s="33"/>
      <c r="O43" s="1" t="s">
        <v>6</v>
      </c>
      <c r="P43" s="1" t="s">
        <v>7</v>
      </c>
      <c r="Q43" s="1" t="s">
        <v>6</v>
      </c>
      <c r="R43" s="20">
        <v>287495</v>
      </c>
    </row>
    <row r="44" spans="3:18" x14ac:dyDescent="0.2">
      <c r="M44" s="30"/>
      <c r="N44" s="33"/>
      <c r="O44" s="1" t="s">
        <v>7</v>
      </c>
      <c r="P44" s="1" t="s">
        <v>6</v>
      </c>
      <c r="Q44" s="1" t="s">
        <v>6</v>
      </c>
      <c r="R44" s="20">
        <v>310687</v>
      </c>
    </row>
    <row r="45" spans="3:18" x14ac:dyDescent="0.2">
      <c r="M45" s="30"/>
      <c r="N45" s="33"/>
      <c r="O45" s="34" t="s">
        <v>14</v>
      </c>
      <c r="P45" s="34"/>
      <c r="Q45" s="11"/>
      <c r="R45" s="16">
        <f>(R43-R42)/R42</f>
        <v>-9.7434786567084528E-2</v>
      </c>
    </row>
    <row r="46" spans="3:18" x14ac:dyDescent="0.2">
      <c r="M46" s="30"/>
      <c r="N46" s="33"/>
      <c r="O46" s="34" t="s">
        <v>15</v>
      </c>
      <c r="P46" s="34"/>
      <c r="Q46" s="11"/>
      <c r="R46" s="16">
        <f>(R44-R42)/R42</f>
        <v>-2.4625546650090573E-2</v>
      </c>
    </row>
    <row r="47" spans="3:18" x14ac:dyDescent="0.2">
      <c r="M47" s="37" t="s">
        <v>3</v>
      </c>
      <c r="N47" s="33">
        <v>8</v>
      </c>
      <c r="O47" s="1" t="s">
        <v>7</v>
      </c>
      <c r="P47" s="1" t="s">
        <v>7</v>
      </c>
      <c r="Q47" s="1" t="s">
        <v>6</v>
      </c>
      <c r="R47" s="20">
        <v>331603</v>
      </c>
    </row>
    <row r="48" spans="3:18" x14ac:dyDescent="0.2">
      <c r="M48" s="37"/>
      <c r="N48" s="33"/>
      <c r="O48" s="1" t="s">
        <v>6</v>
      </c>
      <c r="P48" s="1" t="s">
        <v>7</v>
      </c>
      <c r="Q48" s="1" t="s">
        <v>6</v>
      </c>
      <c r="R48" s="20">
        <v>321527</v>
      </c>
    </row>
    <row r="49" spans="13:18" x14ac:dyDescent="0.2">
      <c r="M49" s="37"/>
      <c r="N49" s="33"/>
      <c r="O49" s="1" t="s">
        <v>7</v>
      </c>
      <c r="P49" s="1" t="s">
        <v>6</v>
      </c>
      <c r="Q49" s="1" t="s">
        <v>6</v>
      </c>
      <c r="R49" s="20">
        <v>336792</v>
      </c>
    </row>
    <row r="50" spans="13:18" x14ac:dyDescent="0.2">
      <c r="M50" s="37"/>
      <c r="N50" s="33"/>
      <c r="O50" s="34" t="s">
        <v>14</v>
      </c>
      <c r="P50" s="34"/>
      <c r="Q50" s="11"/>
      <c r="R50" s="16">
        <f>(R48-R47)/R47</f>
        <v>-3.0385732336559078E-2</v>
      </c>
    </row>
    <row r="51" spans="13:18" x14ac:dyDescent="0.2">
      <c r="M51" s="37"/>
      <c r="N51" s="33"/>
      <c r="O51" s="34" t="s">
        <v>15</v>
      </c>
      <c r="P51" s="34"/>
      <c r="Q51" s="11"/>
      <c r="R51" s="21">
        <f>(R49-R47)/R47</f>
        <v>1.5648229961731347E-2</v>
      </c>
    </row>
    <row r="52" spans="13:18" ht="19" x14ac:dyDescent="0.25">
      <c r="M52" s="48" t="s">
        <v>27</v>
      </c>
      <c r="N52" s="49"/>
      <c r="O52" s="49"/>
      <c r="P52" s="49"/>
      <c r="Q52" s="49"/>
      <c r="R52" s="50"/>
    </row>
    <row r="53" spans="13:18" x14ac:dyDescent="0.2">
      <c r="M53" s="31" t="s">
        <v>1</v>
      </c>
      <c r="N53" s="32"/>
      <c r="O53" s="23" t="s">
        <v>4</v>
      </c>
      <c r="P53" s="23" t="s">
        <v>13</v>
      </c>
      <c r="Q53" s="23" t="s">
        <v>19</v>
      </c>
      <c r="R53" s="35" t="s">
        <v>21</v>
      </c>
    </row>
    <row r="54" spans="13:18" x14ac:dyDescent="0.2">
      <c r="M54" s="2" t="s">
        <v>0</v>
      </c>
      <c r="N54" s="10" t="s">
        <v>5</v>
      </c>
      <c r="O54" s="23"/>
      <c r="P54" s="23"/>
      <c r="Q54" s="23"/>
      <c r="R54" s="36"/>
    </row>
    <row r="55" spans="13:18" x14ac:dyDescent="0.2">
      <c r="M55" s="37" t="s">
        <v>2</v>
      </c>
      <c r="N55" s="33">
        <v>8</v>
      </c>
      <c r="O55" s="1" t="s">
        <v>7</v>
      </c>
      <c r="P55" s="1" t="s">
        <v>7</v>
      </c>
      <c r="Q55" s="1" t="s">
        <v>6</v>
      </c>
      <c r="R55" s="20">
        <v>111789</v>
      </c>
    </row>
    <row r="56" spans="13:18" x14ac:dyDescent="0.2">
      <c r="M56" s="37"/>
      <c r="N56" s="33"/>
      <c r="O56" s="1" t="s">
        <v>6</v>
      </c>
      <c r="P56" s="1" t="s">
        <v>7</v>
      </c>
      <c r="Q56" s="1" t="s">
        <v>6</v>
      </c>
      <c r="R56" s="20">
        <v>75175</v>
      </c>
    </row>
    <row r="57" spans="13:18" x14ac:dyDescent="0.2">
      <c r="M57" s="37"/>
      <c r="N57" s="33"/>
      <c r="O57" s="1" t="s">
        <v>7</v>
      </c>
      <c r="P57" s="1" t="s">
        <v>6</v>
      </c>
      <c r="Q57" s="1" t="s">
        <v>6</v>
      </c>
      <c r="R57" s="20">
        <v>109063</v>
      </c>
    </row>
    <row r="58" spans="13:18" x14ac:dyDescent="0.2">
      <c r="M58" s="37"/>
      <c r="N58" s="33"/>
      <c r="O58" s="34" t="s">
        <v>14</v>
      </c>
      <c r="P58" s="34"/>
      <c r="Q58" s="11"/>
      <c r="R58" s="16">
        <f>(R56-R55)/R55</f>
        <v>-0.32752775317786187</v>
      </c>
    </row>
    <row r="59" spans="13:18" x14ac:dyDescent="0.2">
      <c r="M59" s="37"/>
      <c r="N59" s="33"/>
      <c r="O59" s="34" t="s">
        <v>15</v>
      </c>
      <c r="P59" s="34"/>
      <c r="Q59" s="11"/>
      <c r="R59" s="16">
        <f>(R57-R55)/R55</f>
        <v>-2.4385225737773842E-2</v>
      </c>
    </row>
    <row r="60" spans="13:18" x14ac:dyDescent="0.2">
      <c r="M60" s="37" t="s">
        <v>3</v>
      </c>
      <c r="N60" s="33">
        <v>8</v>
      </c>
      <c r="O60" s="1" t="s">
        <v>7</v>
      </c>
      <c r="P60" s="1" t="s">
        <v>7</v>
      </c>
      <c r="Q60" s="1" t="s">
        <v>6</v>
      </c>
      <c r="R60" s="20">
        <v>106198</v>
      </c>
    </row>
    <row r="61" spans="13:18" x14ac:dyDescent="0.2">
      <c r="M61" s="37"/>
      <c r="N61" s="33"/>
      <c r="O61" s="1" t="s">
        <v>6</v>
      </c>
      <c r="P61" s="1" t="s">
        <v>7</v>
      </c>
      <c r="Q61" s="1" t="s">
        <v>6</v>
      </c>
      <c r="R61" s="20">
        <v>95263</v>
      </c>
    </row>
    <row r="62" spans="13:18" x14ac:dyDescent="0.2">
      <c r="M62" s="37"/>
      <c r="N62" s="33"/>
      <c r="O62" s="1" t="s">
        <v>7</v>
      </c>
      <c r="P62" s="1" t="s">
        <v>6</v>
      </c>
      <c r="Q62" s="1" t="s">
        <v>6</v>
      </c>
      <c r="R62" s="20">
        <v>106485</v>
      </c>
    </row>
    <row r="63" spans="13:18" x14ac:dyDescent="0.2">
      <c r="M63" s="37"/>
      <c r="N63" s="33"/>
      <c r="O63" s="34" t="s">
        <v>14</v>
      </c>
      <c r="P63" s="34"/>
      <c r="Q63" s="11"/>
      <c r="R63" s="16">
        <f>(R61-R60)/R60</f>
        <v>-0.10296804082939415</v>
      </c>
    </row>
    <row r="64" spans="13:18" ht="17" thickBot="1" x14ac:dyDescent="0.25">
      <c r="M64" s="38"/>
      <c r="N64" s="39"/>
      <c r="O64" s="40" t="s">
        <v>15</v>
      </c>
      <c r="P64" s="40"/>
      <c r="Q64" s="6"/>
      <c r="R64" s="18">
        <f>(R62-R60)/R60</f>
        <v>2.7024991054445469E-3</v>
      </c>
    </row>
  </sheetData>
  <mergeCells count="89">
    <mergeCell ref="M55:M59"/>
    <mergeCell ref="N55:N59"/>
    <mergeCell ref="O58:P58"/>
    <mergeCell ref="O59:P59"/>
    <mergeCell ref="M60:M64"/>
    <mergeCell ref="N60:N64"/>
    <mergeCell ref="O63:P63"/>
    <mergeCell ref="O64:P64"/>
    <mergeCell ref="M52:R52"/>
    <mergeCell ref="M53:N53"/>
    <mergeCell ref="O53:O54"/>
    <mergeCell ref="P53:P54"/>
    <mergeCell ref="Q53:Q54"/>
    <mergeCell ref="R53:R54"/>
    <mergeCell ref="M42:M46"/>
    <mergeCell ref="N42:N46"/>
    <mergeCell ref="O45:P45"/>
    <mergeCell ref="O46:P46"/>
    <mergeCell ref="M47:M51"/>
    <mergeCell ref="N47:N51"/>
    <mergeCell ref="O50:P50"/>
    <mergeCell ref="O51:P51"/>
    <mergeCell ref="M38:R38"/>
    <mergeCell ref="M39:R39"/>
    <mergeCell ref="M40:N40"/>
    <mergeCell ref="O40:O41"/>
    <mergeCell ref="P40:P41"/>
    <mergeCell ref="Q40:Q41"/>
    <mergeCell ref="R40:R41"/>
    <mergeCell ref="M21:R21"/>
    <mergeCell ref="Q22:Q23"/>
    <mergeCell ref="C7:K7"/>
    <mergeCell ref="G9:G10"/>
    <mergeCell ref="Q9:Q10"/>
    <mergeCell ref="H9:H10"/>
    <mergeCell ref="I9:K9"/>
    <mergeCell ref="M8:R8"/>
    <mergeCell ref="M7:R7"/>
    <mergeCell ref="M22:N22"/>
    <mergeCell ref="O22:O23"/>
    <mergeCell ref="P22:P23"/>
    <mergeCell ref="R22:R23"/>
    <mergeCell ref="M11:M15"/>
    <mergeCell ref="N11:N15"/>
    <mergeCell ref="M24:M28"/>
    <mergeCell ref="N24:N28"/>
    <mergeCell ref="O27:P27"/>
    <mergeCell ref="O28:P28"/>
    <mergeCell ref="M29:M33"/>
    <mergeCell ref="N29:N33"/>
    <mergeCell ref="O32:P32"/>
    <mergeCell ref="O33:P33"/>
    <mergeCell ref="O14:P14"/>
    <mergeCell ref="O15:P15"/>
    <mergeCell ref="M16:M20"/>
    <mergeCell ref="N16:N20"/>
    <mergeCell ref="O19:P19"/>
    <mergeCell ref="O20:P20"/>
    <mergeCell ref="M9:N9"/>
    <mergeCell ref="O9:O10"/>
    <mergeCell ref="P9:P10"/>
    <mergeCell ref="R9:R10"/>
    <mergeCell ref="C29:C33"/>
    <mergeCell ref="D29:D33"/>
    <mergeCell ref="E33:F33"/>
    <mergeCell ref="E14:F14"/>
    <mergeCell ref="E15:F15"/>
    <mergeCell ref="C16:C20"/>
    <mergeCell ref="D16:D20"/>
    <mergeCell ref="E19:F19"/>
    <mergeCell ref="E20:F20"/>
    <mergeCell ref="C21:K21"/>
    <mergeCell ref="C24:C28"/>
    <mergeCell ref="D24:D28"/>
    <mergeCell ref="E27:F27"/>
    <mergeCell ref="E28:F28"/>
    <mergeCell ref="E32:F32"/>
    <mergeCell ref="C22:D22"/>
    <mergeCell ref="E22:E23"/>
    <mergeCell ref="F22:F23"/>
    <mergeCell ref="G22:G23"/>
    <mergeCell ref="H22:H23"/>
    <mergeCell ref="C8:K8"/>
    <mergeCell ref="E9:E10"/>
    <mergeCell ref="C11:C15"/>
    <mergeCell ref="C9:D9"/>
    <mergeCell ref="D11:D15"/>
    <mergeCell ref="F9:F10"/>
    <mergeCell ref="I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perf7.n5corp.com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Mutreja</dc:creator>
  <cp:lastModifiedBy>Girish Mutreja</cp:lastModifiedBy>
  <dcterms:created xsi:type="dcterms:W3CDTF">2023-07-19T19:04:42Z</dcterms:created>
  <dcterms:modified xsi:type="dcterms:W3CDTF">2023-07-27T21:32:26Z</dcterms:modified>
</cp:coreProperties>
</file>