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irish/Development/nvx/github/nvx-perf/nvx-perf-aep/results/"/>
    </mc:Choice>
  </mc:AlternateContent>
  <xr:revisionPtr revIDLastSave="0" documentId="8_{B31A042F-AD0F-064A-973D-3DF987A6040E}" xr6:coauthVersionLast="47" xr6:coauthVersionMax="47" xr10:uidLastSave="{00000000-0000-0000-0000-000000000000}"/>
  <bookViews>
    <workbookView xWindow="380" yWindow="460" windowWidth="28040" windowHeight="17040" xr2:uid="{63B38CB0-0F73-D441-83BA-6468C87D2337}"/>
  </bookViews>
  <sheets>
    <sheet name="perf7.n5corp.com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" i="1" l="1"/>
  <c r="R26" i="1"/>
  <c r="R32" i="1"/>
  <c r="R31" i="1"/>
  <c r="R19" i="1"/>
  <c r="R18" i="1"/>
  <c r="R14" i="1"/>
  <c r="R13" i="1"/>
  <c r="K32" i="1"/>
  <c r="J32" i="1"/>
  <c r="I32" i="1"/>
  <c r="K31" i="1"/>
  <c r="J31" i="1"/>
  <c r="I31" i="1"/>
  <c r="K27" i="1"/>
  <c r="J27" i="1"/>
  <c r="I27" i="1"/>
  <c r="K26" i="1"/>
  <c r="J26" i="1"/>
  <c r="I26" i="1"/>
  <c r="K19" i="1"/>
  <c r="J19" i="1"/>
  <c r="I19" i="1"/>
  <c r="K18" i="1"/>
  <c r="J18" i="1"/>
  <c r="I18" i="1"/>
  <c r="K14" i="1"/>
  <c r="K13" i="1"/>
  <c r="J14" i="1"/>
  <c r="I14" i="1"/>
  <c r="J13" i="1"/>
  <c r="I13" i="1"/>
</calcChain>
</file>

<file path=xl/sharedStrings.xml><?xml version="1.0" encoding="utf-8"?>
<sst xmlns="http://schemas.openxmlformats.org/spreadsheetml/2006/main" count="148" uniqueCount="25">
  <si>
    <t>Name</t>
  </si>
  <si>
    <t>JVM</t>
  </si>
  <si>
    <t>Oracle</t>
  </si>
  <si>
    <t>Zing</t>
  </si>
  <si>
    <t>Conserve Memory</t>
  </si>
  <si>
    <t>JDK</t>
  </si>
  <si>
    <t>Y</t>
  </si>
  <si>
    <t>N</t>
  </si>
  <si>
    <t>99th</t>
  </si>
  <si>
    <t>Mean</t>
  </si>
  <si>
    <t>50th</t>
  </si>
  <si>
    <t>Persistence=Off, Clustering=Off, Serialization=Direct</t>
  </si>
  <si>
    <t>Persistence=Off, Clustering=Off, Serialization=Intermediate</t>
  </si>
  <si>
    <t>Conserve CPU</t>
  </si>
  <si>
    <t>Conserve Memory Impact</t>
  </si>
  <si>
    <t>Conserve CPU Impact</t>
  </si>
  <si>
    <t>LD_LIBRARY_PATH=/root/.nvx/native numactl -m 0 &lt;JVMHOME&gt;/bin/java -Dnv.optimizefor=&lt;latency|throughput&gt; -Dnv.optimizeMemoryUsage=&lt;true|false&gt; -Dnv.conservecpu=&lt;true|false&gt; -Xms16g -Xmx16g -cp "libs/*" com.neeve.perf.aep.engine.ESProcessor --count 1500000 --rate 50000 --printIntervalStats --injectorCPUAffinityMask [2] --muxCPUAffinityMask [3]  --busDetachedSendCPUAffinityMask [4] --encoding &lt;xbuf2.serial | xbuf2.random&gt;</t>
  </si>
  <si>
    <t>Optimization = LATENCY</t>
  </si>
  <si>
    <t>Optimization = THROUGHPUT</t>
  </si>
  <si>
    <t>Affinitize CPU</t>
  </si>
  <si>
    <t>Throughput 
(Max Configured)</t>
  </si>
  <si>
    <t>Throughput 
(Max Achieved)</t>
  </si>
  <si>
    <t>N/A</t>
  </si>
  <si>
    <t>rumi-reporter.sh -w 500000 -f latencies.w2w.bin</t>
  </si>
  <si>
    <t>Latency (us)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</si>
</sst>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164" fontId="0" fillId="0" borderId="2" xfId="1" applyNumberFormat="1" applyFont="1" applyBorder="1"/>
    <xf numFmtId="0" fontId="2" fillId="0" borderId="4" xfId="0" applyFont="1" applyBorder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0" fillId="0" borderId="0" xfId="2" applyNumberFormat="1" applyFont="1" applyBorder="1" applyAlignment="1">
      <alignment horizontal="center"/>
    </xf>
    <xf numFmtId="164" fontId="0" fillId="0" borderId="0" xfId="1" applyNumberFormat="1" applyFont="1" applyBorder="1" applyAlignment="1">
      <alignment horizontal="right"/>
    </xf>
    <xf numFmtId="164" fontId="0" fillId="0" borderId="4" xfId="1" applyNumberFormat="1" applyFont="1" applyBorder="1" applyAlignment="1">
      <alignment horizontal="right"/>
    </xf>
    <xf numFmtId="164" fontId="6" fillId="0" borderId="0" xfId="1" applyNumberFormat="1" applyFont="1" applyBorder="1"/>
    <xf numFmtId="164" fontId="6" fillId="0" borderId="2" xfId="1" applyNumberFormat="1" applyFont="1" applyBorder="1"/>
    <xf numFmtId="164" fontId="6" fillId="0" borderId="4" xfId="1" applyNumberFormat="1" applyFont="1" applyBorder="1"/>
    <xf numFmtId="164" fontId="6" fillId="0" borderId="5" xfId="1" applyNumberFormat="1" applyFont="1" applyBorder="1"/>
    <xf numFmtId="43" fontId="0" fillId="0" borderId="0" xfId="2" applyFont="1" applyBorder="1"/>
    <xf numFmtId="165" fontId="0" fillId="0" borderId="2" xfId="2" applyNumberFormat="1" applyFont="1" applyBorder="1"/>
    <xf numFmtId="164" fontId="6" fillId="0" borderId="19" xfId="1" applyNumberFormat="1" applyFont="1" applyBorder="1"/>
    <xf numFmtId="0" fontId="2" fillId="0" borderId="1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4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4" xfId="0" applyFont="1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4984-E324-944D-8CEA-260EE3475672}">
  <dimension ref="C3:S34"/>
  <sheetViews>
    <sheetView tabSelected="1" topLeftCell="B1" zoomScale="85" zoomScaleNormal="85" workbookViewId="0">
      <selection activeCell="R10" sqref="R10"/>
    </sheetView>
  </sheetViews>
  <sheetFormatPr baseColWidth="10" defaultRowHeight="16" x14ac:dyDescent="0.2"/>
  <cols>
    <col min="5" max="5" width="15.83203125" style="1" bestFit="1" customWidth="1"/>
    <col min="6" max="8" width="15.83203125" style="1" customWidth="1"/>
    <col min="13" max="13" width="12.83203125" customWidth="1"/>
    <col min="14" max="14" width="13.1640625" customWidth="1"/>
    <col min="15" max="15" width="16.33203125" bestFit="1" customWidth="1"/>
    <col min="16" max="16" width="15" bestFit="1" customWidth="1"/>
    <col min="17" max="17" width="15" customWidth="1"/>
    <col min="18" max="18" width="14.6640625" bestFit="1" customWidth="1"/>
  </cols>
  <sheetData>
    <row r="3" spans="3:18" x14ac:dyDescent="0.2">
      <c r="C3" t="s">
        <v>16</v>
      </c>
    </row>
    <row r="4" spans="3:18" x14ac:dyDescent="0.2">
      <c r="C4" t="s">
        <v>23</v>
      </c>
    </row>
    <row r="6" spans="3:18" ht="22" thickBot="1" x14ac:dyDescent="0.3">
      <c r="C6" s="29" t="s">
        <v>17</v>
      </c>
      <c r="D6" s="29"/>
      <c r="E6" s="29"/>
      <c r="F6" s="29"/>
      <c r="G6" s="29"/>
      <c r="H6" s="29"/>
      <c r="I6" s="29"/>
      <c r="J6" s="29"/>
      <c r="K6" s="29"/>
      <c r="M6" s="36" t="s">
        <v>18</v>
      </c>
      <c r="N6" s="36"/>
      <c r="O6" s="36"/>
      <c r="P6" s="36"/>
      <c r="Q6" s="36"/>
      <c r="R6" s="36"/>
    </row>
    <row r="7" spans="3:18" ht="19" x14ac:dyDescent="0.25">
      <c r="C7" s="33" t="s">
        <v>11</v>
      </c>
      <c r="D7" s="34"/>
      <c r="E7" s="34"/>
      <c r="F7" s="34"/>
      <c r="G7" s="34"/>
      <c r="H7" s="34"/>
      <c r="I7" s="53"/>
      <c r="J7" s="53"/>
      <c r="K7" s="35"/>
      <c r="M7" s="33" t="s">
        <v>11</v>
      </c>
      <c r="N7" s="34"/>
      <c r="O7" s="34"/>
      <c r="P7" s="34"/>
      <c r="Q7" s="34"/>
      <c r="R7" s="35"/>
    </row>
    <row r="8" spans="3:18" ht="16" customHeight="1" x14ac:dyDescent="0.2">
      <c r="C8" s="43" t="s">
        <v>1</v>
      </c>
      <c r="D8" s="44"/>
      <c r="E8" s="28" t="s">
        <v>4</v>
      </c>
      <c r="F8" s="28" t="s">
        <v>13</v>
      </c>
      <c r="G8" s="30" t="s">
        <v>19</v>
      </c>
      <c r="H8" s="31" t="s">
        <v>20</v>
      </c>
      <c r="I8" s="23" t="s">
        <v>24</v>
      </c>
      <c r="J8" s="23"/>
      <c r="K8" s="24"/>
      <c r="M8" s="43" t="s">
        <v>1</v>
      </c>
      <c r="N8" s="44"/>
      <c r="O8" s="28" t="s">
        <v>4</v>
      </c>
      <c r="P8" s="28" t="s">
        <v>13</v>
      </c>
      <c r="Q8" s="28" t="s">
        <v>19</v>
      </c>
      <c r="R8" s="45" t="s">
        <v>21</v>
      </c>
    </row>
    <row r="9" spans="3:18" x14ac:dyDescent="0.2">
      <c r="C9" s="2" t="s">
        <v>0</v>
      </c>
      <c r="D9" s="11" t="s">
        <v>5</v>
      </c>
      <c r="E9" s="28"/>
      <c r="F9" s="28"/>
      <c r="G9" s="28"/>
      <c r="H9" s="32"/>
      <c r="I9" s="9" t="s">
        <v>9</v>
      </c>
      <c r="J9" s="9" t="s">
        <v>10</v>
      </c>
      <c r="K9" s="8" t="s">
        <v>8</v>
      </c>
      <c r="M9" s="2" t="s">
        <v>0</v>
      </c>
      <c r="N9" s="11" t="s">
        <v>5</v>
      </c>
      <c r="O9" s="28"/>
      <c r="P9" s="28"/>
      <c r="Q9" s="28"/>
      <c r="R9" s="46"/>
    </row>
    <row r="10" spans="3:18" ht="16" customHeight="1" x14ac:dyDescent="0.2">
      <c r="C10" s="47" t="s">
        <v>2</v>
      </c>
      <c r="D10" s="38">
        <v>8</v>
      </c>
      <c r="E10" s="1" t="s">
        <v>7</v>
      </c>
      <c r="F10" s="1" t="s">
        <v>7</v>
      </c>
      <c r="G10" s="1" t="s">
        <v>6</v>
      </c>
      <c r="H10" s="13">
        <v>50000</v>
      </c>
      <c r="I10" s="10">
        <v>4.62</v>
      </c>
      <c r="J10" s="10">
        <v>3.47</v>
      </c>
      <c r="K10" s="5">
        <v>3.73</v>
      </c>
      <c r="M10" s="47" t="s">
        <v>2</v>
      </c>
      <c r="N10" s="38">
        <v>8</v>
      </c>
      <c r="O10" s="1" t="s">
        <v>7</v>
      </c>
      <c r="P10" s="1" t="s">
        <v>7</v>
      </c>
      <c r="Q10" s="1" t="s">
        <v>6</v>
      </c>
      <c r="R10" s="21">
        <v>504872</v>
      </c>
    </row>
    <row r="11" spans="3:18" x14ac:dyDescent="0.2">
      <c r="C11" s="47"/>
      <c r="D11" s="38"/>
      <c r="E11" s="1" t="s">
        <v>6</v>
      </c>
      <c r="F11" s="1" t="s">
        <v>7</v>
      </c>
      <c r="G11" s="1" t="s">
        <v>6</v>
      </c>
      <c r="H11" s="13">
        <v>50000</v>
      </c>
      <c r="I11" s="10">
        <v>5.03</v>
      </c>
      <c r="J11" s="10">
        <v>3.89</v>
      </c>
      <c r="K11" s="5">
        <v>4.1500000000000004</v>
      </c>
      <c r="M11" s="47"/>
      <c r="N11" s="38"/>
      <c r="O11" s="1" t="s">
        <v>6</v>
      </c>
      <c r="P11" s="1" t="s">
        <v>7</v>
      </c>
      <c r="Q11" s="1" t="s">
        <v>6</v>
      </c>
      <c r="R11" s="21">
        <v>402820</v>
      </c>
    </row>
    <row r="12" spans="3:18" x14ac:dyDescent="0.2">
      <c r="C12" s="47"/>
      <c r="D12" s="38"/>
      <c r="E12" s="1" t="s">
        <v>7</v>
      </c>
      <c r="F12" s="1" t="s">
        <v>6</v>
      </c>
      <c r="G12" s="1" t="s">
        <v>6</v>
      </c>
      <c r="H12" s="13">
        <v>50000</v>
      </c>
      <c r="I12" s="10">
        <v>11.64</v>
      </c>
      <c r="J12" s="10">
        <v>10.42</v>
      </c>
      <c r="K12" s="5">
        <v>10.71</v>
      </c>
      <c r="M12" s="47"/>
      <c r="N12" s="38"/>
      <c r="O12" s="1" t="s">
        <v>7</v>
      </c>
      <c r="P12" s="1" t="s">
        <v>6</v>
      </c>
      <c r="Q12" s="1" t="s">
        <v>6</v>
      </c>
      <c r="R12" s="21">
        <v>494305</v>
      </c>
    </row>
    <row r="13" spans="3:18" x14ac:dyDescent="0.2">
      <c r="C13" s="47"/>
      <c r="D13" s="38"/>
      <c r="E13" s="39" t="s">
        <v>14</v>
      </c>
      <c r="F13" s="39"/>
      <c r="G13" s="12"/>
      <c r="H13" s="14" t="s">
        <v>22</v>
      </c>
      <c r="I13" s="16">
        <f>(I11-I10)/I10</f>
        <v>8.8744588744588779E-2</v>
      </c>
      <c r="J13" s="16">
        <f>(J11-J10)/J10</f>
        <v>0.12103746397694522</v>
      </c>
      <c r="K13" s="17">
        <f>(K11-K10)/K10</f>
        <v>0.11260053619302959</v>
      </c>
      <c r="M13" s="47"/>
      <c r="N13" s="38"/>
      <c r="O13" s="39" t="s">
        <v>14</v>
      </c>
      <c r="P13" s="39"/>
      <c r="Q13" s="12"/>
      <c r="R13" s="6">
        <f>(R11-R10)/R10</f>
        <v>-0.20213440238317831</v>
      </c>
    </row>
    <row r="14" spans="3:18" x14ac:dyDescent="0.2">
      <c r="C14" s="47"/>
      <c r="D14" s="38"/>
      <c r="E14" s="39" t="s">
        <v>15</v>
      </c>
      <c r="F14" s="39"/>
      <c r="G14" s="12"/>
      <c r="H14" s="14" t="s">
        <v>22</v>
      </c>
      <c r="I14" s="16">
        <f>(I12-I10)/I10</f>
        <v>1.5194805194805197</v>
      </c>
      <c r="J14" s="16">
        <f>(J12-J10)/J10</f>
        <v>2.0028818443804033</v>
      </c>
      <c r="K14" s="17">
        <f>(K12-K10)/K10</f>
        <v>1.8713136729222521</v>
      </c>
      <c r="M14" s="47"/>
      <c r="N14" s="38"/>
      <c r="O14" s="39" t="s">
        <v>15</v>
      </c>
      <c r="P14" s="39"/>
      <c r="Q14" s="12"/>
      <c r="R14" s="6">
        <f>(R12-R10)/R10</f>
        <v>-2.0930057519529702E-2</v>
      </c>
    </row>
    <row r="15" spans="3:18" x14ac:dyDescent="0.2">
      <c r="C15" s="37" t="s">
        <v>3</v>
      </c>
      <c r="D15" s="38">
        <v>8</v>
      </c>
      <c r="E15" s="1" t="s">
        <v>7</v>
      </c>
      <c r="F15" s="1" t="s">
        <v>7</v>
      </c>
      <c r="G15" s="1" t="s">
        <v>6</v>
      </c>
      <c r="H15" s="13">
        <v>50000</v>
      </c>
      <c r="I15" s="10">
        <v>4.54</v>
      </c>
      <c r="J15" s="10">
        <v>3.18</v>
      </c>
      <c r="K15" s="5">
        <v>3.35</v>
      </c>
      <c r="M15" s="37" t="s">
        <v>3</v>
      </c>
      <c r="N15" s="38">
        <v>8</v>
      </c>
      <c r="O15" s="1" t="s">
        <v>7</v>
      </c>
      <c r="P15" s="1" t="s">
        <v>7</v>
      </c>
      <c r="Q15" s="1" t="s">
        <v>6</v>
      </c>
      <c r="R15" s="21">
        <v>530287</v>
      </c>
    </row>
    <row r="16" spans="3:18" x14ac:dyDescent="0.2">
      <c r="C16" s="37"/>
      <c r="D16" s="38"/>
      <c r="E16" s="1" t="s">
        <v>6</v>
      </c>
      <c r="F16" s="1" t="s">
        <v>7</v>
      </c>
      <c r="G16" s="1" t="s">
        <v>6</v>
      </c>
      <c r="H16" s="13">
        <v>50000</v>
      </c>
      <c r="I16" s="10">
        <v>4.76</v>
      </c>
      <c r="J16" s="10">
        <v>3.44</v>
      </c>
      <c r="K16" s="5">
        <v>3.64</v>
      </c>
      <c r="M16" s="37"/>
      <c r="N16" s="38"/>
      <c r="O16" s="1" t="s">
        <v>6</v>
      </c>
      <c r="P16" s="1" t="s">
        <v>7</v>
      </c>
      <c r="Q16" s="1" t="s">
        <v>6</v>
      </c>
      <c r="R16" s="21">
        <v>489453</v>
      </c>
    </row>
    <row r="17" spans="3:19" x14ac:dyDescent="0.2">
      <c r="C17" s="37"/>
      <c r="D17" s="38"/>
      <c r="E17" s="1" t="s">
        <v>7</v>
      </c>
      <c r="F17" s="1" t="s">
        <v>6</v>
      </c>
      <c r="G17" s="1" t="s">
        <v>6</v>
      </c>
      <c r="H17" s="13">
        <v>50000</v>
      </c>
      <c r="I17" s="10">
        <v>11.57</v>
      </c>
      <c r="J17" s="10">
        <v>10.18</v>
      </c>
      <c r="K17" s="5">
        <v>10.38</v>
      </c>
      <c r="M17" s="37"/>
      <c r="N17" s="38"/>
      <c r="O17" s="1" t="s">
        <v>7</v>
      </c>
      <c r="P17" s="1" t="s">
        <v>6</v>
      </c>
      <c r="Q17" s="1" t="s">
        <v>6</v>
      </c>
      <c r="R17" s="21">
        <v>506074</v>
      </c>
    </row>
    <row r="18" spans="3:19" x14ac:dyDescent="0.2">
      <c r="C18" s="37"/>
      <c r="D18" s="38"/>
      <c r="E18" s="39" t="s">
        <v>14</v>
      </c>
      <c r="F18" s="39"/>
      <c r="G18" s="12"/>
      <c r="H18" s="14" t="s">
        <v>22</v>
      </c>
      <c r="I18" s="16">
        <f>(I16-I15)/I15</f>
        <v>4.8458149779735629E-2</v>
      </c>
      <c r="J18" s="16">
        <f>(J16-J15)/J15</f>
        <v>8.1761006289308102E-2</v>
      </c>
      <c r="K18" s="17">
        <f>(K16-K15)/K15</f>
        <v>8.6567164179104483E-2</v>
      </c>
      <c r="M18" s="37"/>
      <c r="N18" s="38"/>
      <c r="O18" s="39" t="s">
        <v>14</v>
      </c>
      <c r="P18" s="39"/>
      <c r="Q18" s="12"/>
      <c r="R18" s="17">
        <f>(R16-R15)/R15</f>
        <v>-7.7003584851222079E-2</v>
      </c>
    </row>
    <row r="19" spans="3:19" x14ac:dyDescent="0.2">
      <c r="C19" s="48"/>
      <c r="D19" s="49"/>
      <c r="E19" s="39" t="s">
        <v>15</v>
      </c>
      <c r="F19" s="39"/>
      <c r="G19" s="12"/>
      <c r="H19" s="14" t="s">
        <v>22</v>
      </c>
      <c r="I19" s="16">
        <f>(I17-I15)/I15</f>
        <v>1.5484581497797356</v>
      </c>
      <c r="J19" s="16">
        <f>(J17-J15)/J15</f>
        <v>2.2012578616352201</v>
      </c>
      <c r="K19" s="17">
        <f>(K17-K15)/K15</f>
        <v>2.0985074626865674</v>
      </c>
      <c r="M19" s="37"/>
      <c r="N19" s="38"/>
      <c r="O19" s="39" t="s">
        <v>15</v>
      </c>
      <c r="P19" s="39"/>
      <c r="Q19" s="12"/>
      <c r="R19" s="22">
        <f>(R17-R15)/R15</f>
        <v>-4.5660180242019885E-2</v>
      </c>
    </row>
    <row r="20" spans="3:19" ht="19" x14ac:dyDescent="0.25">
      <c r="C20" s="50" t="s">
        <v>12</v>
      </c>
      <c r="D20" s="51"/>
      <c r="E20" s="51"/>
      <c r="F20" s="51"/>
      <c r="G20" s="51"/>
      <c r="H20" s="51"/>
      <c r="I20" s="51"/>
      <c r="J20" s="51"/>
      <c r="K20" s="52"/>
      <c r="M20" s="25" t="s">
        <v>12</v>
      </c>
      <c r="N20" s="26"/>
      <c r="O20" s="26"/>
      <c r="P20" s="26"/>
      <c r="Q20" s="26"/>
      <c r="R20" s="27"/>
    </row>
    <row r="21" spans="3:19" x14ac:dyDescent="0.2">
      <c r="C21" s="43" t="s">
        <v>1</v>
      </c>
      <c r="D21" s="44"/>
      <c r="E21" s="28" t="s">
        <v>4</v>
      </c>
      <c r="F21" s="28" t="s">
        <v>13</v>
      </c>
      <c r="G21" s="30" t="s">
        <v>19</v>
      </c>
      <c r="H21" s="31" t="s">
        <v>20</v>
      </c>
      <c r="I21" s="23" t="s">
        <v>24</v>
      </c>
      <c r="J21" s="23"/>
      <c r="K21" s="24"/>
      <c r="M21" s="43" t="s">
        <v>1</v>
      </c>
      <c r="N21" s="44"/>
      <c r="O21" s="28" t="s">
        <v>4</v>
      </c>
      <c r="P21" s="28" t="s">
        <v>13</v>
      </c>
      <c r="Q21" s="28" t="s">
        <v>19</v>
      </c>
      <c r="R21" s="45" t="s">
        <v>21</v>
      </c>
    </row>
    <row r="22" spans="3:19" x14ac:dyDescent="0.2">
      <c r="C22" s="2" t="s">
        <v>0</v>
      </c>
      <c r="D22" s="11" t="s">
        <v>5</v>
      </c>
      <c r="E22" s="28"/>
      <c r="F22" s="28"/>
      <c r="G22" s="28"/>
      <c r="H22" s="32"/>
      <c r="I22" s="9" t="s">
        <v>9</v>
      </c>
      <c r="J22" s="9" t="s">
        <v>10</v>
      </c>
      <c r="K22" s="8" t="s">
        <v>8</v>
      </c>
      <c r="M22" s="2" t="s">
        <v>0</v>
      </c>
      <c r="N22" s="11" t="s">
        <v>5</v>
      </c>
      <c r="O22" s="28"/>
      <c r="P22" s="28"/>
      <c r="Q22" s="28"/>
      <c r="R22" s="46"/>
    </row>
    <row r="23" spans="3:19" x14ac:dyDescent="0.2">
      <c r="C23" s="37" t="s">
        <v>2</v>
      </c>
      <c r="D23" s="38">
        <v>8</v>
      </c>
      <c r="E23" s="1" t="s">
        <v>7</v>
      </c>
      <c r="F23" s="1" t="s">
        <v>7</v>
      </c>
      <c r="G23" s="1" t="s">
        <v>6</v>
      </c>
      <c r="H23" s="13">
        <v>50000</v>
      </c>
      <c r="I23" s="10">
        <v>8.35</v>
      </c>
      <c r="J23" s="10">
        <v>7.04</v>
      </c>
      <c r="K23" s="5">
        <v>8.5299999999999994</v>
      </c>
      <c r="M23" s="37" t="s">
        <v>2</v>
      </c>
      <c r="N23" s="38">
        <v>8</v>
      </c>
      <c r="O23" s="1" t="s">
        <v>7</v>
      </c>
      <c r="P23" s="1" t="s">
        <v>7</v>
      </c>
      <c r="Q23" s="1" t="s">
        <v>6</v>
      </c>
      <c r="R23" s="21">
        <v>130373</v>
      </c>
    </row>
    <row r="24" spans="3:19" x14ac:dyDescent="0.2">
      <c r="C24" s="37"/>
      <c r="D24" s="38"/>
      <c r="E24" s="1" t="s">
        <v>6</v>
      </c>
      <c r="F24" s="1" t="s">
        <v>7</v>
      </c>
      <c r="G24" s="1" t="s">
        <v>6</v>
      </c>
      <c r="H24" s="13">
        <v>50000</v>
      </c>
      <c r="I24" s="10">
        <v>13.46</v>
      </c>
      <c r="J24" s="10">
        <v>12.27</v>
      </c>
      <c r="K24" s="5">
        <v>13.66</v>
      </c>
      <c r="M24" s="37"/>
      <c r="N24" s="38"/>
      <c r="O24" s="1" t="s">
        <v>6</v>
      </c>
      <c r="P24" s="1" t="s">
        <v>7</v>
      </c>
      <c r="Q24" s="1" t="s">
        <v>6</v>
      </c>
      <c r="R24" s="21">
        <v>85136</v>
      </c>
      <c r="S24" s="20"/>
    </row>
    <row r="25" spans="3:19" x14ac:dyDescent="0.2">
      <c r="C25" s="37"/>
      <c r="D25" s="38"/>
      <c r="E25" s="1" t="s">
        <v>7</v>
      </c>
      <c r="F25" s="1" t="s">
        <v>6</v>
      </c>
      <c r="G25" s="1" t="s">
        <v>6</v>
      </c>
      <c r="H25" s="13">
        <v>50000</v>
      </c>
      <c r="I25">
        <v>14.25</v>
      </c>
      <c r="J25" s="10">
        <v>12.6</v>
      </c>
      <c r="K25" s="5">
        <v>15.4</v>
      </c>
      <c r="M25" s="37"/>
      <c r="N25" s="38"/>
      <c r="O25" s="1" t="s">
        <v>7</v>
      </c>
      <c r="P25" s="1" t="s">
        <v>6</v>
      </c>
      <c r="Q25" s="1" t="s">
        <v>6</v>
      </c>
      <c r="R25" s="21">
        <v>114629</v>
      </c>
      <c r="S25" s="20"/>
    </row>
    <row r="26" spans="3:19" x14ac:dyDescent="0.2">
      <c r="C26" s="37"/>
      <c r="D26" s="38"/>
      <c r="E26" s="39" t="s">
        <v>14</v>
      </c>
      <c r="F26" s="39"/>
      <c r="G26" s="12"/>
      <c r="H26" s="14" t="s">
        <v>22</v>
      </c>
      <c r="I26" s="16">
        <f>(I24-I23)/I23</f>
        <v>0.6119760479041918</v>
      </c>
      <c r="J26" s="16">
        <f>(J24-J23)/J23</f>
        <v>0.74289772727272718</v>
      </c>
      <c r="K26" s="17">
        <f>(K24-K23)/K23</f>
        <v>0.6014067995310669</v>
      </c>
      <c r="M26" s="37"/>
      <c r="N26" s="38"/>
      <c r="O26" s="39" t="s">
        <v>14</v>
      </c>
      <c r="P26" s="39"/>
      <c r="Q26" s="12"/>
      <c r="R26" s="17">
        <f>(R24-R23)/R23</f>
        <v>-0.34698135350110837</v>
      </c>
    </row>
    <row r="27" spans="3:19" x14ac:dyDescent="0.2">
      <c r="C27" s="37"/>
      <c r="D27" s="38"/>
      <c r="E27" s="39" t="s">
        <v>15</v>
      </c>
      <c r="F27" s="39"/>
      <c r="G27" s="12"/>
      <c r="H27" s="14" t="s">
        <v>22</v>
      </c>
      <c r="I27" s="16">
        <f>(I25-I23)/I23</f>
        <v>0.70658682634730541</v>
      </c>
      <c r="J27" s="16">
        <f>(J25-J23)/J23</f>
        <v>0.78977272727272718</v>
      </c>
      <c r="K27" s="17">
        <f>(K25-K23)/K23</f>
        <v>0.8053927315357563</v>
      </c>
      <c r="M27" s="37"/>
      <c r="N27" s="38"/>
      <c r="O27" s="39" t="s">
        <v>15</v>
      </c>
      <c r="P27" s="39"/>
      <c r="Q27" s="12"/>
      <c r="R27" s="17">
        <f>(R25-R23)/R23</f>
        <v>-0.12076120055532971</v>
      </c>
    </row>
    <row r="28" spans="3:19" x14ac:dyDescent="0.2">
      <c r="C28" s="37" t="s">
        <v>3</v>
      </c>
      <c r="D28" s="38">
        <v>8</v>
      </c>
      <c r="E28" s="1" t="s">
        <v>7</v>
      </c>
      <c r="F28" s="1" t="s">
        <v>7</v>
      </c>
      <c r="G28" s="1" t="s">
        <v>6</v>
      </c>
      <c r="H28" s="13">
        <v>50000</v>
      </c>
      <c r="I28" s="10">
        <v>7.31</v>
      </c>
      <c r="J28" s="10">
        <v>5.8</v>
      </c>
      <c r="K28" s="5">
        <v>6.21</v>
      </c>
      <c r="M28" s="37" t="s">
        <v>3</v>
      </c>
      <c r="N28" s="38">
        <v>8</v>
      </c>
      <c r="O28" s="1" t="s">
        <v>7</v>
      </c>
      <c r="P28" s="1" t="s">
        <v>7</v>
      </c>
      <c r="Q28" s="1" t="s">
        <v>6</v>
      </c>
      <c r="R28" s="21">
        <v>124810</v>
      </c>
    </row>
    <row r="29" spans="3:19" x14ac:dyDescent="0.2">
      <c r="C29" s="37"/>
      <c r="D29" s="38"/>
      <c r="E29" s="1" t="s">
        <v>6</v>
      </c>
      <c r="F29" s="1" t="s">
        <v>7</v>
      </c>
      <c r="G29" s="1" t="s">
        <v>6</v>
      </c>
      <c r="H29" s="13">
        <v>50000</v>
      </c>
      <c r="I29" s="10">
        <v>11.82</v>
      </c>
      <c r="J29" s="10">
        <v>10.49</v>
      </c>
      <c r="K29" s="5">
        <v>10.77</v>
      </c>
      <c r="M29" s="37"/>
      <c r="N29" s="38"/>
      <c r="O29" s="1" t="s">
        <v>6</v>
      </c>
      <c r="P29" s="1" t="s">
        <v>7</v>
      </c>
      <c r="Q29" s="1" t="s">
        <v>6</v>
      </c>
      <c r="R29" s="21">
        <v>111400</v>
      </c>
    </row>
    <row r="30" spans="3:19" x14ac:dyDescent="0.2">
      <c r="C30" s="37"/>
      <c r="D30" s="38"/>
      <c r="E30" s="1" t="s">
        <v>7</v>
      </c>
      <c r="F30" s="1" t="s">
        <v>6</v>
      </c>
      <c r="G30" s="1" t="s">
        <v>6</v>
      </c>
      <c r="H30" s="13">
        <v>50000</v>
      </c>
      <c r="I30">
        <v>13.61</v>
      </c>
      <c r="J30">
        <v>12.96</v>
      </c>
      <c r="K30" s="4">
        <v>14.78</v>
      </c>
      <c r="M30" s="37"/>
      <c r="N30" s="38"/>
      <c r="O30" s="1" t="s">
        <v>7</v>
      </c>
      <c r="P30" s="1" t="s">
        <v>6</v>
      </c>
      <c r="Q30" s="1" t="s">
        <v>6</v>
      </c>
      <c r="R30" s="21">
        <v>116558</v>
      </c>
    </row>
    <row r="31" spans="3:19" x14ac:dyDescent="0.2">
      <c r="C31" s="37"/>
      <c r="D31" s="38"/>
      <c r="E31" s="39" t="s">
        <v>14</v>
      </c>
      <c r="F31" s="39"/>
      <c r="G31" s="12"/>
      <c r="H31" s="14" t="s">
        <v>22</v>
      </c>
      <c r="I31" s="16">
        <f>(I29-I28)/I28</f>
        <v>0.61696306429548575</v>
      </c>
      <c r="J31" s="16">
        <f>(J29-J28)/J28</f>
        <v>0.80862068965517253</v>
      </c>
      <c r="K31" s="17">
        <f>(K29-K28)/K28</f>
        <v>0.73429951690821249</v>
      </c>
      <c r="M31" s="37"/>
      <c r="N31" s="38"/>
      <c r="O31" s="39" t="s">
        <v>14</v>
      </c>
      <c r="P31" s="39"/>
      <c r="Q31" s="12"/>
      <c r="R31" s="17">
        <f>(R29-R28)/R28</f>
        <v>-0.10744331383703229</v>
      </c>
    </row>
    <row r="32" spans="3:19" ht="17" thickBot="1" x14ac:dyDescent="0.25">
      <c r="C32" s="40"/>
      <c r="D32" s="41"/>
      <c r="E32" s="42" t="s">
        <v>15</v>
      </c>
      <c r="F32" s="42"/>
      <c r="G32" s="7"/>
      <c r="H32" s="15" t="s">
        <v>22</v>
      </c>
      <c r="I32" s="18">
        <f>(I30-I28)/I28</f>
        <v>0.86183310533515733</v>
      </c>
      <c r="J32" s="18">
        <f>(J30-J28)/J28</f>
        <v>1.2344827586206899</v>
      </c>
      <c r="K32" s="19">
        <f>(K30-K28)/K28</f>
        <v>1.3800322061191628</v>
      </c>
      <c r="M32" s="40"/>
      <c r="N32" s="41"/>
      <c r="O32" s="42" t="s">
        <v>15</v>
      </c>
      <c r="P32" s="42"/>
      <c r="Q32" s="7"/>
      <c r="R32" s="19">
        <f>(R30-R28)/R28</f>
        <v>-6.6116497075554836E-2</v>
      </c>
    </row>
    <row r="33" spans="3:4" x14ac:dyDescent="0.2">
      <c r="C33" s="3"/>
      <c r="D33" s="3"/>
    </row>
    <row r="34" spans="3:4" x14ac:dyDescent="0.2">
      <c r="C34" s="3"/>
      <c r="D34" s="3"/>
    </row>
  </sheetData>
  <mergeCells count="60">
    <mergeCell ref="G21:G22"/>
    <mergeCell ref="H21:H22"/>
    <mergeCell ref="C7:K7"/>
    <mergeCell ref="E8:E9"/>
    <mergeCell ref="C10:C14"/>
    <mergeCell ref="C8:D8"/>
    <mergeCell ref="D10:D14"/>
    <mergeCell ref="F8:F9"/>
    <mergeCell ref="E26:F26"/>
    <mergeCell ref="E27:F27"/>
    <mergeCell ref="E31:F31"/>
    <mergeCell ref="C21:D21"/>
    <mergeCell ref="E21:E22"/>
    <mergeCell ref="F21:F22"/>
    <mergeCell ref="M8:N8"/>
    <mergeCell ref="O8:O9"/>
    <mergeCell ref="P8:P9"/>
    <mergeCell ref="R8:R9"/>
    <mergeCell ref="C28:C32"/>
    <mergeCell ref="D28:D32"/>
    <mergeCell ref="E32:F32"/>
    <mergeCell ref="E13:F13"/>
    <mergeCell ref="E14:F14"/>
    <mergeCell ref="C15:C19"/>
    <mergeCell ref="D15:D19"/>
    <mergeCell ref="E18:F18"/>
    <mergeCell ref="E19:F19"/>
    <mergeCell ref="C20:K20"/>
    <mergeCell ref="C23:C27"/>
    <mergeCell ref="D23:D27"/>
    <mergeCell ref="O13:P13"/>
    <mergeCell ref="O14:P14"/>
    <mergeCell ref="M15:M19"/>
    <mergeCell ref="N15:N19"/>
    <mergeCell ref="O18:P18"/>
    <mergeCell ref="O19:P19"/>
    <mergeCell ref="M23:M27"/>
    <mergeCell ref="N23:N27"/>
    <mergeCell ref="O26:P26"/>
    <mergeCell ref="O27:P27"/>
    <mergeCell ref="M28:M32"/>
    <mergeCell ref="N28:N32"/>
    <mergeCell ref="O31:P31"/>
    <mergeCell ref="O32:P32"/>
    <mergeCell ref="I21:K21"/>
    <mergeCell ref="M20:R20"/>
    <mergeCell ref="Q21:Q22"/>
    <mergeCell ref="C6:K6"/>
    <mergeCell ref="G8:G9"/>
    <mergeCell ref="Q8:Q9"/>
    <mergeCell ref="H8:H9"/>
    <mergeCell ref="I8:K8"/>
    <mergeCell ref="M7:R7"/>
    <mergeCell ref="M6:R6"/>
    <mergeCell ref="M21:N21"/>
    <mergeCell ref="O21:O22"/>
    <mergeCell ref="P21:P22"/>
    <mergeCell ref="R21:R22"/>
    <mergeCell ref="M10:M14"/>
    <mergeCell ref="N10:N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perf7.n5corp.com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Girish Mutreja</dc:creator>
  <cp:lastModifiedBy>Girish Mutreja</cp:lastModifiedBy>
  <dcterms:created xsi:type="dcterms:W3CDTF">2023-07-19T19:04:42Z</dcterms:created>
  <dcterms:modified xsi:type="dcterms:W3CDTF">2023-07-25T00:25:35Z</dcterms:modified>
</cp:coreProperties>
</file>